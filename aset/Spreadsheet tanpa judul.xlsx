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874825e0e56d1e2/Documents/Ko Kulikuler/aset/"/>
    </mc:Choice>
  </mc:AlternateContent>
  <xr:revisionPtr revIDLastSave="13" documentId="11_143CFDED5F79B84E117D8574612A412BC9312C4C" xr6:coauthVersionLast="47" xr6:coauthVersionMax="47" xr10:uidLastSave="{3D3B11CD-749F-49B9-8568-F40F3CFF4583}"/>
  <bookViews>
    <workbookView xWindow="-108" yWindow="-108" windowWidth="23256" windowHeight="12456" activeTab="1" xr2:uid="{00000000-000D-0000-FFFF-FFFF00000000}"/>
  </bookViews>
  <sheets>
    <sheet name="Data Produk" sheetId="1" r:id="rId1"/>
    <sheet name="Daftar Bahan" sheetId="2" r:id="rId2"/>
    <sheet name="Komposisi H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3" l="1"/>
  <c r="G45" i="3"/>
  <c r="D45" i="3"/>
  <c r="C45" i="3"/>
  <c r="F40" i="3"/>
  <c r="F38" i="3"/>
  <c r="C38" i="3"/>
  <c r="G37" i="3"/>
  <c r="F37" i="3"/>
  <c r="H37" i="3" s="1"/>
  <c r="C37" i="3"/>
  <c r="G36" i="3"/>
  <c r="F36" i="3"/>
  <c r="H36" i="3" s="1"/>
  <c r="C36" i="3"/>
  <c r="F35" i="3"/>
  <c r="C35" i="3"/>
  <c r="G34" i="3"/>
  <c r="F34" i="3"/>
  <c r="H34" i="3" s="1"/>
  <c r="D34" i="3"/>
  <c r="C34" i="3"/>
  <c r="G33" i="3"/>
  <c r="H33" i="3" s="1"/>
  <c r="F33" i="3"/>
  <c r="C33" i="3"/>
  <c r="F32" i="3"/>
  <c r="H32" i="3" s="1"/>
  <c r="C32" i="3"/>
  <c r="F31" i="3"/>
  <c r="C31" i="3"/>
  <c r="F30" i="3"/>
  <c r="G29" i="3"/>
  <c r="F29" i="3"/>
  <c r="H29" i="3" s="1"/>
  <c r="C29" i="3"/>
  <c r="D24" i="3"/>
  <c r="D20" i="3"/>
  <c r="C20" i="3"/>
  <c r="F13" i="3"/>
  <c r="C13" i="3"/>
  <c r="F12" i="3"/>
  <c r="C12" i="3"/>
  <c r="G11" i="3"/>
  <c r="F11" i="3"/>
  <c r="H11" i="3" s="1"/>
  <c r="C11" i="3"/>
  <c r="G10" i="3"/>
  <c r="H10" i="3" s="1"/>
  <c r="F10" i="3"/>
  <c r="C10" i="3"/>
  <c r="G9" i="3"/>
  <c r="F9" i="3"/>
  <c r="H9" i="3" s="1"/>
  <c r="C9" i="3"/>
  <c r="F8" i="3"/>
  <c r="C8" i="3"/>
  <c r="G7" i="3"/>
  <c r="F7" i="3"/>
  <c r="H7" i="3" s="1"/>
  <c r="C7" i="3"/>
  <c r="D2" i="3"/>
  <c r="F25" i="2"/>
  <c r="F24" i="2"/>
  <c r="G40" i="3" s="1"/>
  <c r="H40" i="3" s="1"/>
  <c r="F23" i="2"/>
  <c r="G38" i="3" s="1"/>
  <c r="H38" i="3" s="1"/>
  <c r="F22" i="2"/>
  <c r="F21" i="2"/>
  <c r="F20" i="2"/>
  <c r="G35" i="3" s="1"/>
  <c r="F19" i="2"/>
  <c r="F18" i="2"/>
  <c r="F17" i="2"/>
  <c r="G32" i="3" s="1"/>
  <c r="F16" i="2"/>
  <c r="G31" i="3" s="1"/>
  <c r="H31" i="3" s="1"/>
  <c r="F15" i="2"/>
  <c r="G30" i="3" s="1"/>
  <c r="F14" i="2"/>
  <c r="F10" i="2"/>
  <c r="G20" i="3" s="1"/>
  <c r="H20" i="3" s="1"/>
  <c r="F9" i="2"/>
  <c r="G13" i="3" s="1"/>
  <c r="H13" i="3" s="1"/>
  <c r="F8" i="2"/>
  <c r="G12" i="3" s="1"/>
  <c r="F7" i="2"/>
  <c r="F6" i="2"/>
  <c r="F5" i="2"/>
  <c r="F4" i="2"/>
  <c r="G8" i="3" s="1"/>
  <c r="F3" i="2"/>
  <c r="H30" i="3" l="1"/>
  <c r="H12" i="3"/>
  <c r="H35" i="3"/>
  <c r="H46" i="3" s="1"/>
  <c r="H8" i="3"/>
  <c r="H21" i="3" s="1"/>
</calcChain>
</file>

<file path=xl/sharedStrings.xml><?xml version="1.0" encoding="utf-8"?>
<sst xmlns="http://schemas.openxmlformats.org/spreadsheetml/2006/main" count="110" uniqueCount="47">
  <si>
    <t>No</t>
  </si>
  <si>
    <t>Produk</t>
  </si>
  <si>
    <t>Berat Produk</t>
  </si>
  <si>
    <t>Satuan</t>
  </si>
  <si>
    <t>Kemasan</t>
  </si>
  <si>
    <t>Ukuran Kemasan</t>
  </si>
  <si>
    <t>Smoothies</t>
  </si>
  <si>
    <t>gram</t>
  </si>
  <si>
    <t>Cup</t>
  </si>
  <si>
    <t>Tumis Kol Daging</t>
  </si>
  <si>
    <t>Bowl</t>
  </si>
  <si>
    <t>Keterangan</t>
  </si>
  <si>
    <t>Harga</t>
  </si>
  <si>
    <t>Isi</t>
  </si>
  <si>
    <t>Harga Satuan</t>
  </si>
  <si>
    <t>Buah Naga</t>
  </si>
  <si>
    <t>Alpukat</t>
  </si>
  <si>
    <t>Pisang</t>
  </si>
  <si>
    <t>Mangga</t>
  </si>
  <si>
    <t>Strawbery</t>
  </si>
  <si>
    <t>Susu Fullcream</t>
  </si>
  <si>
    <t>ml</t>
  </si>
  <si>
    <t>Es Batu</t>
  </si>
  <si>
    <t>Cup 16 oz + Tutup + Sedotan/Sendok</t>
  </si>
  <si>
    <t>pcs</t>
  </si>
  <si>
    <t>Nasi Putih</t>
  </si>
  <si>
    <t>Daging Sapi</t>
  </si>
  <si>
    <t>Kol</t>
  </si>
  <si>
    <t>Bawang Merah</t>
  </si>
  <si>
    <t>Bawang Putih</t>
  </si>
  <si>
    <t>Cabai Merah</t>
  </si>
  <si>
    <t xml:space="preserve"> n</t>
  </si>
  <si>
    <t>Kecap Manis</t>
  </si>
  <si>
    <t>Saus Tiram</t>
  </si>
  <si>
    <t>Garam</t>
  </si>
  <si>
    <t>Merica Bubuk</t>
  </si>
  <si>
    <t>Minyak Goreng</t>
  </si>
  <si>
    <t xml:space="preserve">Rice Bowl + Sendok </t>
  </si>
  <si>
    <t>Nama Produk</t>
  </si>
  <si>
    <t>Sekali Produksi</t>
  </si>
  <si>
    <t>Per Satu Pack</t>
  </si>
  <si>
    <t>Harga Bahan Per Satuan</t>
  </si>
  <si>
    <t>Total Bahan Pokok</t>
  </si>
  <si>
    <t>Bahan Baku</t>
  </si>
  <si>
    <t>Bahan Penolong</t>
  </si>
  <si>
    <t>Total</t>
  </si>
  <si>
    <t>Daging 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</si>
</sst>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3" xfId="0" applyFont="1" applyBorder="1" applyAlignment="1"/>
    <xf numFmtId="3" fontId="1" fillId="0" borderId="1" xfId="0" applyNumberFormat="1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/>
    <xf numFmtId="0" fontId="2" fillId="0" borderId="2" xfId="0" applyFont="1" applyBorder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4" xfId="0" applyFont="1" applyBorder="1" applyAlignment="1"/>
    <xf numFmtId="0" fontId="2" fillId="0" borderId="7" xfId="0" applyFont="1" applyBorder="1"/>
    <xf numFmtId="0" fontId="3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workbookViewId="0"/>
  </sheetViews>
  <sheetFormatPr defaultColWidth="12.6640625" defaultRowHeight="15.75" customHeight="1" x14ac:dyDescent="0.25"/>
  <cols>
    <col min="1" max="1" width="5.109375" customWidth="1"/>
    <col min="2" max="2" width="14.21875" customWidth="1"/>
    <col min="6" max="6" width="14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2" t="s">
        <v>6</v>
      </c>
      <c r="C2" s="3"/>
      <c r="D2" s="2" t="s">
        <v>7</v>
      </c>
      <c r="E2" s="2" t="s">
        <v>8</v>
      </c>
      <c r="F2" s="3"/>
    </row>
    <row r="3" spans="1:6" x14ac:dyDescent="0.25">
      <c r="A3" s="1">
        <v>2</v>
      </c>
      <c r="B3" s="2" t="s">
        <v>9</v>
      </c>
      <c r="C3" s="3"/>
      <c r="D3" s="2" t="s">
        <v>7</v>
      </c>
      <c r="E3" s="2" t="s">
        <v>10</v>
      </c>
      <c r="F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5"/>
  <sheetViews>
    <sheetView tabSelected="1" topLeftCell="A4" workbookViewId="0">
      <selection activeCell="C16" sqref="C16"/>
    </sheetView>
  </sheetViews>
  <sheetFormatPr defaultColWidth="12.6640625" defaultRowHeight="15.75" customHeight="1" x14ac:dyDescent="0.25"/>
  <cols>
    <col min="1" max="1" width="3.88671875" customWidth="1"/>
    <col min="2" max="2" width="13.77734375" customWidth="1"/>
  </cols>
  <sheetData>
    <row r="1" spans="1:6" x14ac:dyDescent="0.25">
      <c r="A1" s="18" t="s">
        <v>6</v>
      </c>
      <c r="B1" s="19"/>
      <c r="C1" s="19"/>
      <c r="D1" s="19"/>
      <c r="E1" s="19"/>
      <c r="F1" s="19"/>
    </row>
    <row r="2" spans="1:6" x14ac:dyDescent="0.25">
      <c r="A2" s="4" t="s">
        <v>0</v>
      </c>
      <c r="B2" s="4" t="s">
        <v>11</v>
      </c>
      <c r="C2" s="4" t="s">
        <v>12</v>
      </c>
      <c r="D2" s="4" t="s">
        <v>13</v>
      </c>
      <c r="E2" s="4" t="s">
        <v>3</v>
      </c>
      <c r="F2" s="4" t="s">
        <v>14</v>
      </c>
    </row>
    <row r="3" spans="1:6" x14ac:dyDescent="0.25">
      <c r="A3" s="2">
        <v>1</v>
      </c>
      <c r="B3" s="2" t="s">
        <v>15</v>
      </c>
      <c r="C3" s="5">
        <v>25000</v>
      </c>
      <c r="D3" s="2">
        <v>1000</v>
      </c>
      <c r="E3" s="2" t="s">
        <v>7</v>
      </c>
      <c r="F3" s="3">
        <f t="shared" ref="F3:F10" si="0">C3/D3</f>
        <v>25</v>
      </c>
    </row>
    <row r="4" spans="1:6" x14ac:dyDescent="0.25">
      <c r="A4" s="2">
        <v>2</v>
      </c>
      <c r="B4" s="2" t="s">
        <v>16</v>
      </c>
      <c r="C4" s="5">
        <v>20000</v>
      </c>
      <c r="D4" s="2">
        <v>1000</v>
      </c>
      <c r="E4" s="2" t="s">
        <v>7</v>
      </c>
      <c r="F4" s="3">
        <f t="shared" si="0"/>
        <v>20</v>
      </c>
    </row>
    <row r="5" spans="1:6" x14ac:dyDescent="0.25">
      <c r="A5" s="2">
        <v>3</v>
      </c>
      <c r="B5" s="2" t="s">
        <v>17</v>
      </c>
      <c r="C5" s="5">
        <v>28000</v>
      </c>
      <c r="D5" s="2">
        <v>1000</v>
      </c>
      <c r="E5" s="2" t="s">
        <v>7</v>
      </c>
      <c r="F5" s="3">
        <f t="shared" si="0"/>
        <v>28</v>
      </c>
    </row>
    <row r="6" spans="1:6" x14ac:dyDescent="0.25">
      <c r="A6" s="2">
        <v>4</v>
      </c>
      <c r="B6" s="2" t="s">
        <v>18</v>
      </c>
      <c r="C6" s="5">
        <v>30000</v>
      </c>
      <c r="D6" s="2">
        <v>1000</v>
      </c>
      <c r="E6" s="2" t="s">
        <v>7</v>
      </c>
      <c r="F6" s="3">
        <f t="shared" si="0"/>
        <v>30</v>
      </c>
    </row>
    <row r="7" spans="1:6" x14ac:dyDescent="0.25">
      <c r="A7" s="2">
        <v>5</v>
      </c>
      <c r="B7" s="2" t="s">
        <v>19</v>
      </c>
      <c r="C7" s="5">
        <v>30000</v>
      </c>
      <c r="D7" s="2">
        <v>1000</v>
      </c>
      <c r="E7" s="2" t="s">
        <v>7</v>
      </c>
      <c r="F7" s="3">
        <f t="shared" si="0"/>
        <v>30</v>
      </c>
    </row>
    <row r="8" spans="1:6" x14ac:dyDescent="0.25">
      <c r="A8" s="2">
        <v>6</v>
      </c>
      <c r="B8" s="2" t="s">
        <v>20</v>
      </c>
      <c r="C8" s="5">
        <v>30000</v>
      </c>
      <c r="D8" s="2">
        <v>1000</v>
      </c>
      <c r="E8" s="2" t="s">
        <v>21</v>
      </c>
      <c r="F8" s="3">
        <f t="shared" si="0"/>
        <v>30</v>
      </c>
    </row>
    <row r="9" spans="1:6" x14ac:dyDescent="0.25">
      <c r="A9" s="2">
        <v>7</v>
      </c>
      <c r="B9" s="2" t="s">
        <v>22</v>
      </c>
      <c r="C9" s="5">
        <v>3000</v>
      </c>
      <c r="D9" s="2">
        <v>1000</v>
      </c>
      <c r="E9" s="2" t="s">
        <v>7</v>
      </c>
      <c r="F9" s="3">
        <f t="shared" si="0"/>
        <v>3</v>
      </c>
    </row>
    <row r="10" spans="1:6" x14ac:dyDescent="0.25">
      <c r="A10" s="6">
        <v>8</v>
      </c>
      <c r="B10" s="7" t="s">
        <v>23</v>
      </c>
      <c r="C10" s="8">
        <v>1200</v>
      </c>
      <c r="D10" s="9">
        <v>1</v>
      </c>
      <c r="E10" s="10" t="s">
        <v>24</v>
      </c>
      <c r="F10" s="11">
        <f t="shared" si="0"/>
        <v>1200</v>
      </c>
    </row>
    <row r="12" spans="1:6" x14ac:dyDescent="0.25">
      <c r="A12" s="20" t="s">
        <v>9</v>
      </c>
      <c r="B12" s="21"/>
      <c r="C12" s="21"/>
      <c r="D12" s="21"/>
      <c r="E12" s="21"/>
      <c r="F12" s="21"/>
    </row>
    <row r="13" spans="1:6" x14ac:dyDescent="0.25">
      <c r="A13" s="2" t="s">
        <v>0</v>
      </c>
      <c r="B13" s="2" t="s">
        <v>11</v>
      </c>
      <c r="C13" s="2" t="s">
        <v>12</v>
      </c>
      <c r="D13" s="2" t="s">
        <v>13</v>
      </c>
      <c r="E13" s="2" t="s">
        <v>3</v>
      </c>
      <c r="F13" s="2" t="s">
        <v>14</v>
      </c>
    </row>
    <row r="14" spans="1:6" x14ac:dyDescent="0.25">
      <c r="A14" s="2">
        <v>1</v>
      </c>
      <c r="B14" s="2" t="s">
        <v>25</v>
      </c>
      <c r="C14" s="5">
        <v>20000</v>
      </c>
      <c r="D14" s="2">
        <v>1000</v>
      </c>
      <c r="E14" s="2" t="s">
        <v>7</v>
      </c>
      <c r="F14" s="3">
        <f t="shared" ref="F14:F25" si="1">C14/D14</f>
        <v>20</v>
      </c>
    </row>
    <row r="15" spans="1:6" x14ac:dyDescent="0.25">
      <c r="A15" s="2">
        <v>2</v>
      </c>
      <c r="B15" s="2" t="s">
        <v>26</v>
      </c>
      <c r="C15" s="5">
        <v>60000</v>
      </c>
      <c r="D15" s="2">
        <v>1000</v>
      </c>
      <c r="E15" s="2" t="s">
        <v>7</v>
      </c>
      <c r="F15" s="3">
        <f t="shared" si="1"/>
        <v>60</v>
      </c>
    </row>
    <row r="16" spans="1:6" x14ac:dyDescent="0.25">
      <c r="A16" s="2">
        <v>3</v>
      </c>
      <c r="B16" s="2" t="s">
        <v>27</v>
      </c>
      <c r="C16" s="5">
        <v>7000</v>
      </c>
      <c r="D16" s="2">
        <v>1000</v>
      </c>
      <c r="E16" s="2" t="s">
        <v>7</v>
      </c>
      <c r="F16" s="3">
        <f t="shared" si="1"/>
        <v>7</v>
      </c>
    </row>
    <row r="17" spans="1:12" x14ac:dyDescent="0.25">
      <c r="A17" s="2">
        <v>4</v>
      </c>
      <c r="B17" s="2" t="s">
        <v>28</v>
      </c>
      <c r="C17" s="5">
        <v>30000</v>
      </c>
      <c r="D17" s="2">
        <v>1000</v>
      </c>
      <c r="E17" s="2" t="s">
        <v>7</v>
      </c>
      <c r="F17" s="3">
        <f t="shared" si="1"/>
        <v>30</v>
      </c>
    </row>
    <row r="18" spans="1:12" x14ac:dyDescent="0.25">
      <c r="A18" s="2">
        <v>5</v>
      </c>
      <c r="B18" s="2" t="s">
        <v>29</v>
      </c>
      <c r="C18" s="5">
        <v>30000</v>
      </c>
      <c r="D18" s="2">
        <v>1000</v>
      </c>
      <c r="E18" s="2" t="s">
        <v>7</v>
      </c>
      <c r="F18" s="3">
        <f t="shared" si="1"/>
        <v>30</v>
      </c>
    </row>
    <row r="19" spans="1:12" x14ac:dyDescent="0.25">
      <c r="A19" s="2">
        <v>6</v>
      </c>
      <c r="B19" s="2" t="s">
        <v>30</v>
      </c>
      <c r="C19" s="5">
        <v>45000</v>
      </c>
      <c r="D19" s="2">
        <v>1000</v>
      </c>
      <c r="E19" s="2" t="s">
        <v>7</v>
      </c>
      <c r="F19" s="3">
        <f t="shared" si="1"/>
        <v>45</v>
      </c>
      <c r="L19" s="12" t="s">
        <v>31</v>
      </c>
    </row>
    <row r="20" spans="1:12" x14ac:dyDescent="0.25">
      <c r="A20" s="2">
        <v>7</v>
      </c>
      <c r="B20" s="2" t="s">
        <v>32</v>
      </c>
      <c r="C20" s="5">
        <v>30000</v>
      </c>
      <c r="D20" s="2">
        <v>1000</v>
      </c>
      <c r="E20" s="2" t="s">
        <v>7</v>
      </c>
      <c r="F20" s="3">
        <f t="shared" si="1"/>
        <v>30</v>
      </c>
    </row>
    <row r="21" spans="1:12" x14ac:dyDescent="0.25">
      <c r="A21" s="2">
        <v>8</v>
      </c>
      <c r="B21" s="7" t="s">
        <v>33</v>
      </c>
      <c r="C21" s="8">
        <v>35000</v>
      </c>
      <c r="D21" s="9">
        <v>1000</v>
      </c>
      <c r="E21" s="10" t="s">
        <v>7</v>
      </c>
      <c r="F21" s="11">
        <f t="shared" si="1"/>
        <v>35</v>
      </c>
    </row>
    <row r="22" spans="1:12" x14ac:dyDescent="0.25">
      <c r="A22" s="2">
        <v>9</v>
      </c>
      <c r="B22" s="2" t="s">
        <v>34</v>
      </c>
      <c r="C22" s="5">
        <v>6000</v>
      </c>
      <c r="D22" s="2">
        <v>1000</v>
      </c>
      <c r="E22" s="2" t="s">
        <v>7</v>
      </c>
      <c r="F22" s="11">
        <f t="shared" si="1"/>
        <v>6</v>
      </c>
    </row>
    <row r="23" spans="1:12" x14ac:dyDescent="0.25">
      <c r="A23" s="2">
        <v>10</v>
      </c>
      <c r="B23" s="2" t="s">
        <v>35</v>
      </c>
      <c r="C23" s="5">
        <v>20000</v>
      </c>
      <c r="D23" s="2">
        <v>1000</v>
      </c>
      <c r="E23" s="2" t="s">
        <v>7</v>
      </c>
      <c r="F23" s="11">
        <f t="shared" si="1"/>
        <v>20</v>
      </c>
    </row>
    <row r="24" spans="1:12" x14ac:dyDescent="0.25">
      <c r="A24" s="2">
        <v>11</v>
      </c>
      <c r="B24" s="2" t="s">
        <v>36</v>
      </c>
      <c r="C24" s="5">
        <v>25000</v>
      </c>
      <c r="D24" s="2">
        <v>1000</v>
      </c>
      <c r="E24" s="2" t="s">
        <v>21</v>
      </c>
      <c r="F24" s="11">
        <f t="shared" si="1"/>
        <v>25</v>
      </c>
    </row>
    <row r="25" spans="1:12" x14ac:dyDescent="0.25">
      <c r="A25" s="2">
        <v>12</v>
      </c>
      <c r="B25" s="2" t="s">
        <v>37</v>
      </c>
      <c r="C25" s="5">
        <v>1200</v>
      </c>
      <c r="D25" s="2">
        <v>1</v>
      </c>
      <c r="E25" s="2" t="s">
        <v>24</v>
      </c>
      <c r="F25" s="11">
        <f t="shared" si="1"/>
        <v>1200</v>
      </c>
    </row>
  </sheetData>
  <mergeCells count="2">
    <mergeCell ref="A1:F1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J46"/>
  <sheetViews>
    <sheetView topLeftCell="A22" workbookViewId="0">
      <selection activeCell="G30" sqref="G30"/>
    </sheetView>
  </sheetViews>
  <sheetFormatPr defaultColWidth="12.6640625" defaultRowHeight="15.75" customHeight="1" x14ac:dyDescent="0.25"/>
  <cols>
    <col min="1" max="2" width="3.21875" customWidth="1"/>
  </cols>
  <sheetData>
    <row r="2" spans="2:8" x14ac:dyDescent="0.25">
      <c r="B2" s="20" t="s">
        <v>38</v>
      </c>
      <c r="C2" s="21"/>
      <c r="D2" s="22" t="str">
        <f>'Data Produk'!B2</f>
        <v>Smoothies</v>
      </c>
      <c r="E2" s="21"/>
    </row>
    <row r="3" spans="2:8" x14ac:dyDescent="0.25">
      <c r="B3" s="23" t="s">
        <v>11</v>
      </c>
      <c r="C3" s="24"/>
      <c r="D3" s="14" t="s">
        <v>3</v>
      </c>
      <c r="E3" s="14" t="s">
        <v>39</v>
      </c>
      <c r="F3" s="14" t="s">
        <v>40</v>
      </c>
      <c r="G3" s="14" t="s">
        <v>41</v>
      </c>
      <c r="H3" s="14" t="s">
        <v>42</v>
      </c>
    </row>
    <row r="4" spans="2:8" x14ac:dyDescent="0.25">
      <c r="B4" s="3"/>
      <c r="C4" s="3"/>
      <c r="D4" s="2" t="s">
        <v>8</v>
      </c>
      <c r="E4" s="2">
        <v>10</v>
      </c>
      <c r="F4" s="3"/>
      <c r="G4" s="3"/>
      <c r="H4" s="3"/>
    </row>
    <row r="5" spans="2:8" x14ac:dyDescent="0.25">
      <c r="B5" s="3"/>
      <c r="C5" s="3"/>
      <c r="D5" s="3"/>
      <c r="E5" s="3"/>
      <c r="F5" s="3"/>
      <c r="G5" s="3"/>
      <c r="H5" s="3"/>
    </row>
    <row r="6" spans="2:8" x14ac:dyDescent="0.25">
      <c r="B6" s="2" t="s">
        <v>43</v>
      </c>
      <c r="C6" s="3"/>
      <c r="D6" s="3"/>
      <c r="E6" s="3"/>
      <c r="F6" s="3"/>
      <c r="G6" s="3"/>
      <c r="H6" s="3"/>
    </row>
    <row r="7" spans="2:8" x14ac:dyDescent="0.25">
      <c r="B7" s="2">
        <v>1</v>
      </c>
      <c r="C7" s="3" t="str">
        <f>'Daftar Bahan'!B3</f>
        <v>Buah Naga</v>
      </c>
      <c r="D7" s="2" t="s">
        <v>7</v>
      </c>
      <c r="E7" s="2">
        <v>500</v>
      </c>
      <c r="F7" s="3">
        <f>E7/E4</f>
        <v>50</v>
      </c>
      <c r="G7" s="3">
        <f>'Daftar Bahan'!F3</f>
        <v>25</v>
      </c>
      <c r="H7" s="3">
        <f t="shared" ref="H7:H13" si="0">F7*G7</f>
        <v>1250</v>
      </c>
    </row>
    <row r="8" spans="2:8" x14ac:dyDescent="0.25">
      <c r="B8" s="2">
        <v>2</v>
      </c>
      <c r="C8" s="3" t="str">
        <f>'Daftar Bahan'!B4</f>
        <v>Alpukat</v>
      </c>
      <c r="D8" s="2" t="s">
        <v>7</v>
      </c>
      <c r="E8" s="2">
        <v>400</v>
      </c>
      <c r="F8" s="3">
        <f>E8/E4</f>
        <v>40</v>
      </c>
      <c r="G8" s="3">
        <f>'Daftar Bahan'!F4</f>
        <v>20</v>
      </c>
      <c r="H8" s="3">
        <f t="shared" si="0"/>
        <v>800</v>
      </c>
    </row>
    <row r="9" spans="2:8" x14ac:dyDescent="0.25">
      <c r="B9" s="2">
        <v>3</v>
      </c>
      <c r="C9" s="3" t="str">
        <f>'Daftar Bahan'!B5</f>
        <v>Pisang</v>
      </c>
      <c r="D9" s="2" t="s">
        <v>7</v>
      </c>
      <c r="E9" s="2">
        <v>400</v>
      </c>
      <c r="F9" s="3">
        <f>E9/E4</f>
        <v>40</v>
      </c>
      <c r="G9" s="3">
        <f>'Daftar Bahan'!F5</f>
        <v>28</v>
      </c>
      <c r="H9" s="3">
        <f t="shared" si="0"/>
        <v>1120</v>
      </c>
    </row>
    <row r="10" spans="2:8" x14ac:dyDescent="0.25">
      <c r="B10" s="2">
        <v>4</v>
      </c>
      <c r="C10" s="3" t="str">
        <f>'Daftar Bahan'!B6</f>
        <v>Mangga</v>
      </c>
      <c r="D10" s="2" t="s">
        <v>7</v>
      </c>
      <c r="E10" s="2">
        <v>400</v>
      </c>
      <c r="F10" s="3">
        <f>E10/E4</f>
        <v>40</v>
      </c>
      <c r="G10" s="3">
        <f>'Daftar Bahan'!F6</f>
        <v>30</v>
      </c>
      <c r="H10" s="3">
        <f t="shared" si="0"/>
        <v>1200</v>
      </c>
    </row>
    <row r="11" spans="2:8" x14ac:dyDescent="0.25">
      <c r="B11" s="2">
        <v>5</v>
      </c>
      <c r="C11" s="3" t="str">
        <f>'Daftar Bahan'!B7</f>
        <v>Strawbery</v>
      </c>
      <c r="D11" s="2" t="s">
        <v>7</v>
      </c>
      <c r="E11" s="2">
        <v>300</v>
      </c>
      <c r="F11" s="3">
        <f>E11/E4</f>
        <v>30</v>
      </c>
      <c r="G11" s="3">
        <f>'Daftar Bahan'!F7</f>
        <v>30</v>
      </c>
      <c r="H11" s="3">
        <f t="shared" si="0"/>
        <v>900</v>
      </c>
    </row>
    <row r="12" spans="2:8" x14ac:dyDescent="0.25">
      <c r="B12" s="2">
        <v>6</v>
      </c>
      <c r="C12" s="3" t="str">
        <f>'Daftar Bahan'!B8</f>
        <v>Susu Fullcream</v>
      </c>
      <c r="D12" s="2" t="s">
        <v>21</v>
      </c>
      <c r="E12" s="2">
        <v>100</v>
      </c>
      <c r="F12" s="3">
        <f>E12/E4</f>
        <v>10</v>
      </c>
      <c r="G12" s="3">
        <f>'Daftar Bahan'!F8</f>
        <v>30</v>
      </c>
      <c r="H12" s="3">
        <f t="shared" si="0"/>
        <v>300</v>
      </c>
    </row>
    <row r="13" spans="2:8" x14ac:dyDescent="0.25">
      <c r="B13" s="2">
        <v>7</v>
      </c>
      <c r="C13" s="3" t="str">
        <f>'Daftar Bahan'!B9</f>
        <v>Es Batu</v>
      </c>
      <c r="D13" s="2" t="s">
        <v>7</v>
      </c>
      <c r="E13" s="2">
        <v>800</v>
      </c>
      <c r="F13" s="3">
        <f>E13/E4</f>
        <v>80</v>
      </c>
      <c r="G13" s="3">
        <f>'Daftar Bahan'!F9</f>
        <v>3</v>
      </c>
      <c r="H13" s="3">
        <f t="shared" si="0"/>
        <v>240</v>
      </c>
    </row>
    <row r="14" spans="2:8" x14ac:dyDescent="0.25">
      <c r="B14" s="2" t="s">
        <v>44</v>
      </c>
      <c r="C14" s="3"/>
      <c r="D14" s="3"/>
      <c r="E14" s="3"/>
      <c r="F14" s="3"/>
      <c r="G14" s="3"/>
      <c r="H14" s="3"/>
    </row>
    <row r="15" spans="2:8" x14ac:dyDescent="0.25">
      <c r="B15" s="3"/>
      <c r="C15" s="3"/>
      <c r="D15" s="3"/>
      <c r="E15" s="3"/>
      <c r="F15" s="3"/>
      <c r="G15" s="3"/>
      <c r="H15" s="3"/>
    </row>
    <row r="16" spans="2:8" x14ac:dyDescent="0.25">
      <c r="B16" s="3"/>
      <c r="C16" s="3"/>
      <c r="D16" s="3"/>
      <c r="E16" s="3"/>
      <c r="F16" s="3"/>
      <c r="G16" s="3"/>
      <c r="H16" s="3"/>
    </row>
    <row r="17" spans="2:10" x14ac:dyDescent="0.25">
      <c r="B17" s="3"/>
      <c r="C17" s="3"/>
      <c r="D17" s="3"/>
      <c r="E17" s="3"/>
      <c r="F17" s="3"/>
      <c r="G17" s="3"/>
      <c r="H17" s="3"/>
    </row>
    <row r="18" spans="2:10" x14ac:dyDescent="0.25">
      <c r="B18" s="3"/>
      <c r="C18" s="3"/>
      <c r="D18" s="3"/>
      <c r="E18" s="3"/>
      <c r="F18" s="3"/>
      <c r="G18" s="3"/>
      <c r="H18" s="3"/>
    </row>
    <row r="19" spans="2:10" x14ac:dyDescent="0.25">
      <c r="B19" s="2" t="s">
        <v>4</v>
      </c>
      <c r="C19" s="3"/>
      <c r="D19" s="3"/>
      <c r="E19" s="3"/>
      <c r="F19" s="3"/>
      <c r="G19" s="3"/>
      <c r="H19" s="3"/>
    </row>
    <row r="20" spans="2:10" x14ac:dyDescent="0.25">
      <c r="B20" s="15">
        <v>1</v>
      </c>
      <c r="C20" s="16" t="str">
        <f>'Daftar Bahan'!B10</f>
        <v>Cup 16 oz + Tutup + Sedotan/Sendok</v>
      </c>
      <c r="D20" s="17" t="str">
        <f>'Daftar Bahan'!E10</f>
        <v>pcs</v>
      </c>
      <c r="E20" s="15">
        <v>10</v>
      </c>
      <c r="F20" s="15">
        <v>1</v>
      </c>
      <c r="G20" s="17">
        <f>'Daftar Bahan'!F10</f>
        <v>1200</v>
      </c>
      <c r="H20" s="17">
        <f>F20*G20</f>
        <v>1200</v>
      </c>
    </row>
    <row r="21" spans="2:10" x14ac:dyDescent="0.25">
      <c r="B21" s="25" t="s">
        <v>45</v>
      </c>
      <c r="C21" s="26"/>
      <c r="D21" s="26"/>
      <c r="E21" s="26"/>
      <c r="F21" s="26"/>
      <c r="G21" s="24"/>
      <c r="H21" s="3">
        <f>SUM(H7:H20)</f>
        <v>7010</v>
      </c>
    </row>
    <row r="23" spans="2:10" ht="14.4" customHeight="1" x14ac:dyDescent="0.25"/>
    <row r="24" spans="2:10" ht="22.8" customHeight="1" x14ac:dyDescent="0.25">
      <c r="B24" s="12" t="s">
        <v>38</v>
      </c>
      <c r="D24" s="13" t="str">
        <f>'Data Produk'!B3</f>
        <v>Tumis Kol Daging</v>
      </c>
    </row>
    <row r="25" spans="2:10" ht="24.6" customHeight="1" x14ac:dyDescent="0.25">
      <c r="B25" s="23" t="s">
        <v>11</v>
      </c>
      <c r="C25" s="24"/>
      <c r="D25" s="14" t="s">
        <v>3</v>
      </c>
      <c r="E25" s="14" t="s">
        <v>39</v>
      </c>
      <c r="F25" s="14" t="s">
        <v>40</v>
      </c>
      <c r="G25" s="14" t="s">
        <v>41</v>
      </c>
      <c r="H25" s="14" t="s">
        <v>42</v>
      </c>
      <c r="J25" s="27"/>
    </row>
    <row r="26" spans="2:10" x14ac:dyDescent="0.25">
      <c r="B26" s="3"/>
      <c r="C26" s="3"/>
      <c r="D26" s="2" t="s">
        <v>8</v>
      </c>
      <c r="E26" s="2">
        <v>10</v>
      </c>
      <c r="F26" s="3"/>
      <c r="G26" s="3"/>
      <c r="H26" s="3"/>
    </row>
    <row r="27" spans="2:10" x14ac:dyDescent="0.25">
      <c r="B27" s="3"/>
      <c r="C27" s="3"/>
      <c r="D27" s="3"/>
      <c r="E27" s="3"/>
      <c r="F27" s="3"/>
      <c r="G27" s="3"/>
      <c r="H27" s="3"/>
    </row>
    <row r="28" spans="2:10" x14ac:dyDescent="0.25">
      <c r="B28" s="2" t="s">
        <v>43</v>
      </c>
      <c r="C28" s="3"/>
      <c r="D28" s="3"/>
      <c r="E28" s="3"/>
      <c r="F28" s="3"/>
      <c r="G28" s="3"/>
      <c r="H28" s="3"/>
    </row>
    <row r="29" spans="2:10" x14ac:dyDescent="0.25">
      <c r="B29" s="2">
        <v>1</v>
      </c>
      <c r="C29" s="3" t="str">
        <f>'Daftar Bahan'!B14</f>
        <v>Nasi Putih</v>
      </c>
      <c r="D29" s="2" t="s">
        <v>7</v>
      </c>
      <c r="E29" s="2">
        <v>1000</v>
      </c>
      <c r="F29" s="3">
        <f>E29/E26</f>
        <v>100</v>
      </c>
      <c r="G29" s="3">
        <f>'Daftar Bahan'!F14</f>
        <v>20</v>
      </c>
      <c r="H29" s="3">
        <f t="shared" ref="H29:H38" si="1">F29*G29</f>
        <v>2000</v>
      </c>
    </row>
    <row r="30" spans="2:10" x14ac:dyDescent="0.25">
      <c r="B30" s="2">
        <v>2</v>
      </c>
      <c r="C30" s="3" t="s">
        <v>46</v>
      </c>
      <c r="D30" s="2" t="s">
        <v>7</v>
      </c>
      <c r="E30" s="2">
        <v>1500</v>
      </c>
      <c r="F30" s="3">
        <f>E30/E26</f>
        <v>150</v>
      </c>
      <c r="G30" s="3">
        <f>'Daftar Bahan'!F15</f>
        <v>60</v>
      </c>
      <c r="H30" s="3">
        <f t="shared" si="1"/>
        <v>9000</v>
      </c>
    </row>
    <row r="31" spans="2:10" x14ac:dyDescent="0.25">
      <c r="B31" s="2">
        <v>3</v>
      </c>
      <c r="C31" s="3" t="str">
        <f>'Daftar Bahan'!B16</f>
        <v>Kol</v>
      </c>
      <c r="D31" s="2" t="s">
        <v>7</v>
      </c>
      <c r="E31" s="2">
        <v>750</v>
      </c>
      <c r="F31" s="3">
        <f>E31/E26</f>
        <v>75</v>
      </c>
      <c r="G31" s="3">
        <f>'Daftar Bahan'!F16</f>
        <v>7</v>
      </c>
      <c r="H31" s="3">
        <f t="shared" si="1"/>
        <v>525</v>
      </c>
    </row>
    <row r="32" spans="2:10" x14ac:dyDescent="0.25">
      <c r="B32" s="2">
        <v>4</v>
      </c>
      <c r="C32" s="3" t="str">
        <f>'Daftar Bahan'!B17</f>
        <v>Bawang Merah</v>
      </c>
      <c r="D32" s="2" t="s">
        <v>7</v>
      </c>
      <c r="E32" s="2">
        <v>10</v>
      </c>
      <c r="F32" s="3">
        <f>E32/E26</f>
        <v>1</v>
      </c>
      <c r="G32" s="3">
        <f>'Daftar Bahan'!F17</f>
        <v>30</v>
      </c>
      <c r="H32" s="3">
        <f t="shared" si="1"/>
        <v>30</v>
      </c>
    </row>
    <row r="33" spans="2:8" x14ac:dyDescent="0.25">
      <c r="B33" s="2">
        <v>5</v>
      </c>
      <c r="C33" s="3" t="str">
        <f>'Daftar Bahan'!B18</f>
        <v>Bawang Putih</v>
      </c>
      <c r="D33" s="2" t="s">
        <v>7</v>
      </c>
      <c r="E33" s="2">
        <v>5</v>
      </c>
      <c r="F33" s="3">
        <f>E33/E26</f>
        <v>0.5</v>
      </c>
      <c r="G33" s="3">
        <f>'Daftar Bahan'!F18</f>
        <v>30</v>
      </c>
      <c r="H33" s="3">
        <f t="shared" si="1"/>
        <v>15</v>
      </c>
    </row>
    <row r="34" spans="2:8" x14ac:dyDescent="0.25">
      <c r="B34" s="2">
        <v>6</v>
      </c>
      <c r="C34" s="3" t="str">
        <f>'Daftar Bahan'!B19</f>
        <v>Cabai Merah</v>
      </c>
      <c r="D34" s="2" t="str">
        <f>'Daftar Bahan'!E19</f>
        <v>gram</v>
      </c>
      <c r="E34" s="2">
        <v>100</v>
      </c>
      <c r="F34" s="3">
        <f>E34/E26</f>
        <v>10</v>
      </c>
      <c r="G34" s="3">
        <f>'Daftar Bahan'!F30</f>
        <v>0</v>
      </c>
      <c r="H34" s="3">
        <f t="shared" si="1"/>
        <v>0</v>
      </c>
    </row>
    <row r="35" spans="2:8" x14ac:dyDescent="0.25">
      <c r="B35" s="2">
        <v>7</v>
      </c>
      <c r="C35" s="3" t="str">
        <f>'Daftar Bahan'!B20</f>
        <v>Kecap Manis</v>
      </c>
      <c r="D35" s="2" t="s">
        <v>21</v>
      </c>
      <c r="E35" s="2">
        <v>15</v>
      </c>
      <c r="F35" s="3">
        <f>E35/E26</f>
        <v>1.5</v>
      </c>
      <c r="G35" s="3">
        <f>'Daftar Bahan'!F20</f>
        <v>30</v>
      </c>
      <c r="H35" s="3">
        <f t="shared" si="1"/>
        <v>45</v>
      </c>
    </row>
    <row r="36" spans="2:8" x14ac:dyDescent="0.25">
      <c r="B36" s="2">
        <v>8</v>
      </c>
      <c r="C36" s="3" t="str">
        <f>'Daftar Bahan'!B21</f>
        <v>Saus Tiram</v>
      </c>
      <c r="D36" s="2" t="s">
        <v>21</v>
      </c>
      <c r="E36" s="2">
        <v>5</v>
      </c>
      <c r="F36" s="3">
        <f>E36/E26</f>
        <v>0.5</v>
      </c>
      <c r="G36" s="3">
        <f>'Daftar Bahan'!F21</f>
        <v>35</v>
      </c>
      <c r="H36" s="3">
        <f t="shared" si="1"/>
        <v>17.5</v>
      </c>
    </row>
    <row r="37" spans="2:8" x14ac:dyDescent="0.25">
      <c r="B37" s="2">
        <v>9</v>
      </c>
      <c r="C37" s="3" t="str">
        <f>'Daftar Bahan'!B22</f>
        <v>Garam</v>
      </c>
      <c r="D37" s="2" t="s">
        <v>7</v>
      </c>
      <c r="E37" s="2">
        <v>1</v>
      </c>
      <c r="F37" s="3">
        <f>E37/E29</f>
        <v>1E-3</v>
      </c>
      <c r="G37" s="3">
        <f>'Daftar Bahan'!F22</f>
        <v>6</v>
      </c>
      <c r="H37" s="3">
        <f t="shared" si="1"/>
        <v>6.0000000000000001E-3</v>
      </c>
    </row>
    <row r="38" spans="2:8" x14ac:dyDescent="0.25">
      <c r="B38" s="2">
        <v>10</v>
      </c>
      <c r="C38" s="3" t="str">
        <f>'Daftar Bahan'!B23</f>
        <v>Merica Bubuk</v>
      </c>
      <c r="D38" s="2" t="s">
        <v>7</v>
      </c>
      <c r="E38" s="2">
        <v>0.5</v>
      </c>
      <c r="F38" s="3">
        <f>E38/E29</f>
        <v>5.0000000000000001E-4</v>
      </c>
      <c r="G38" s="3">
        <f>'Daftar Bahan'!F23</f>
        <v>20</v>
      </c>
      <c r="H38" s="3">
        <f t="shared" si="1"/>
        <v>0.01</v>
      </c>
    </row>
    <row r="39" spans="2:8" x14ac:dyDescent="0.25">
      <c r="B39" s="2" t="s">
        <v>44</v>
      </c>
      <c r="C39" s="3"/>
      <c r="D39" s="3"/>
      <c r="E39" s="3"/>
      <c r="F39" s="3"/>
      <c r="G39" s="3"/>
      <c r="H39" s="3"/>
    </row>
    <row r="40" spans="2:8" x14ac:dyDescent="0.25">
      <c r="B40" s="2">
        <v>1</v>
      </c>
      <c r="C40" s="2" t="s">
        <v>36</v>
      </c>
      <c r="D40" s="2" t="s">
        <v>21</v>
      </c>
      <c r="E40" s="2">
        <v>15</v>
      </c>
      <c r="F40" s="3">
        <f>E40/E26</f>
        <v>1.5</v>
      </c>
      <c r="G40" s="3">
        <f>'Daftar Bahan'!F24</f>
        <v>25</v>
      </c>
      <c r="H40" s="3">
        <f>F40*G40</f>
        <v>37.5</v>
      </c>
    </row>
    <row r="41" spans="2:8" x14ac:dyDescent="0.25">
      <c r="B41" s="3"/>
      <c r="C41" s="3"/>
      <c r="D41" s="3"/>
      <c r="E41" s="3"/>
      <c r="F41" s="3"/>
      <c r="G41" s="3"/>
      <c r="H41" s="3"/>
    </row>
    <row r="42" spans="2:8" x14ac:dyDescent="0.25">
      <c r="B42" s="3"/>
      <c r="C42" s="3"/>
      <c r="D42" s="3"/>
      <c r="E42" s="3"/>
      <c r="F42" s="3"/>
      <c r="G42" s="3"/>
      <c r="H42" s="3"/>
    </row>
    <row r="43" spans="2:8" x14ac:dyDescent="0.25">
      <c r="B43" s="3"/>
      <c r="C43" s="3"/>
      <c r="D43" s="3"/>
      <c r="E43" s="3"/>
      <c r="F43" s="3"/>
      <c r="G43" s="3"/>
      <c r="H43" s="3"/>
    </row>
    <row r="44" spans="2:8" x14ac:dyDescent="0.25">
      <c r="B44" s="2" t="s">
        <v>4</v>
      </c>
      <c r="C44" s="3"/>
      <c r="D44" s="3"/>
      <c r="E44" s="3"/>
      <c r="F44" s="3"/>
      <c r="G44" s="3"/>
      <c r="H44" s="3"/>
    </row>
    <row r="45" spans="2:8" x14ac:dyDescent="0.25">
      <c r="B45" s="15">
        <v>1</v>
      </c>
      <c r="C45" s="16" t="str">
        <f>'Daftar Bahan'!B25</f>
        <v xml:space="preserve">Rice Bowl + Sendok </v>
      </c>
      <c r="D45" s="17" t="str">
        <f>'Daftar Bahan'!E25</f>
        <v>pcs</v>
      </c>
      <c r="E45" s="15">
        <v>10</v>
      </c>
      <c r="F45" s="15">
        <v>1</v>
      </c>
      <c r="G45" s="17">
        <f>'Daftar Bahan'!F25</f>
        <v>1200</v>
      </c>
      <c r="H45" s="17">
        <f>F45*G45</f>
        <v>1200</v>
      </c>
    </row>
    <row r="46" spans="2:8" x14ac:dyDescent="0.25">
      <c r="B46" s="25" t="s">
        <v>45</v>
      </c>
      <c r="C46" s="26"/>
      <c r="D46" s="26"/>
      <c r="E46" s="26"/>
      <c r="F46" s="26"/>
      <c r="G46" s="24"/>
      <c r="H46" s="3">
        <f>SUM(H29:H45)</f>
        <v>12870.016</v>
      </c>
    </row>
  </sheetData>
  <mergeCells count="6">
    <mergeCell ref="B46:G46"/>
    <mergeCell ref="B2:C2"/>
    <mergeCell ref="D2:E2"/>
    <mergeCell ref="B3:C3"/>
    <mergeCell ref="B21:G21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Produk</vt:lpstr>
      <vt:lpstr>Daftar Bahan</vt:lpstr>
      <vt:lpstr>Komposisi HPP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Gg Gg</cp:lastModifiedBy>
  <dcterms:modified xsi:type="dcterms:W3CDTF">2026-10-29T01:14:13Z</dcterms:modified>
</cp:coreProperties>
</file>